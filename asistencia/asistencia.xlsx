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Estudiantes" sheetId="2" state="visible" r:id="rId2"/>
    <sheet name="Asistencia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Guía</author>
  </authors>
  <commentList>
    <comment ref="C1" authorId="0" shapeId="0">
      <text>
        <t>Esta primera columna es un EJEMPLO. Reemplaza 'EJEMPLO' por la fecha real de esa sesión (o bórrala y usa esta columna para tu primera clase). Para cada sesión nueva, escribe la fecha en la fila 1 de la siguiente columna libre y marca P/A/E para cada estudiante.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Registro de asistencia — Analítica de Datos</t>
        </is>
      </c>
    </row>
    <row r="2">
      <c r="A2" s="2" t="inlineStr"/>
    </row>
    <row r="3">
      <c r="A3" s="3" t="inlineStr">
        <is>
          <t>Cómo usar este archivo:</t>
        </is>
      </c>
    </row>
    <row r="4">
      <c r="A4" s="2" t="inlineStr">
        <is>
          <t>1. Ve a la pestaña 'Asistencia'. La columna C ('EJEMPLO') ya está diligenciada para</t>
        </is>
      </c>
    </row>
    <row r="5">
      <c r="A5" s="2" t="inlineStr">
        <is>
          <t xml:space="preserve">   mostrarte el formato esperado — reemplázala por tu primera sesión real o déjala como guía.</t>
        </is>
      </c>
    </row>
    <row r="6">
      <c r="A6" s="2" t="inlineStr">
        <is>
          <t>2. Cada sesión de clase es una columna. En la fila 1 de la primera columna libre</t>
        </is>
      </c>
    </row>
    <row r="7">
      <c r="A7" s="2" t="inlineStr">
        <is>
          <t xml:space="preserve">   (D en adelante) escribe la fecha de la sesión (ej. 2026-08-24).</t>
        </is>
      </c>
    </row>
    <row r="8">
      <c r="A8" s="2" t="inlineStr">
        <is>
          <t>3. En esa misma columna, para cada estudiante (filas 2 a 13), selecciona su estado</t>
        </is>
      </c>
    </row>
    <row r="9">
      <c r="A9" s="2" t="inlineStr">
        <is>
          <t xml:space="preserve">   desde la lista desplegable: P = Presente, A = Ausente, E = Excusa.</t>
        </is>
      </c>
    </row>
    <row r="10">
      <c r="A10" s="2" t="inlineStr">
        <is>
          <t>4. La pestaña 'Resumen' calcula automáticamente el número de sesiones registradas,</t>
        </is>
      </c>
    </row>
    <row r="11">
      <c r="A11" s="2" t="inlineStr">
        <is>
          <t xml:space="preserve">   presentes, ausencias, excusas y el porcentaje de asistencia de cada estudiante.</t>
        </is>
      </c>
    </row>
    <row r="12">
      <c r="A12" s="2" t="inlineStr">
        <is>
          <t>5. La pestaña 'Estudiantes' contiene el listado oficial (documento, plan, correo);</t>
        </is>
      </c>
    </row>
    <row r="13">
      <c r="A13" s="2" t="inlineStr">
        <is>
          <t xml:space="preserve">   actualízala si hay novedades de matrícula (retiros, adiciones).</t>
        </is>
      </c>
    </row>
    <row r="14">
      <c r="A14" s="2" t="inlineStr"/>
    </row>
    <row r="15">
      <c r="A15" s="3" t="inlineStr">
        <is>
          <t>Notas:</t>
        </is>
      </c>
    </row>
    <row r="16">
      <c r="A16" s="2" t="inlineStr">
        <is>
          <t>- El porcentaje de asistencia cuenta Presente y Excusa como sesión atendida,</t>
        </is>
      </c>
    </row>
    <row r="17">
      <c r="A17" s="2" t="inlineStr">
        <is>
          <t xml:space="preserve">  y solo tiene en cuenta las columnas que ya tengan un estado marcado.</t>
        </is>
      </c>
    </row>
    <row r="18">
      <c r="A18" s="2" t="inlineStr">
        <is>
          <t>- Hay 60 columnas reservadas para sesiones (C:BJ), más que suficientes para un semestre.</t>
        </is>
      </c>
    </row>
    <row r="19">
      <c r="A19" s="2" t="inlineStr">
        <is>
          <t>- Según la ficha de la asignatura, se exige un mínimo de 85%% de asistencia</t>
        </is>
      </c>
    </row>
    <row r="20">
      <c r="A20" s="2" t="inlineStr">
        <is>
          <t xml:space="preserve">  (código 4200729, Universidad Nacional de Colombia — Sede Manizales).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4" customWidth="1" min="3" max="3"/>
    <col width="34" customWidth="1" min="4" max="4"/>
    <col width="30" customWidth="1" min="5" max="5"/>
  </cols>
  <sheetData>
    <row r="1">
      <c r="A1" s="4" t="inlineStr">
        <is>
          <t>id_estudiante</t>
        </is>
      </c>
      <c r="B1" s="4" t="inlineStr">
        <is>
          <t>Apellidos y nombres</t>
        </is>
      </c>
      <c r="C1" s="4" t="inlineStr">
        <is>
          <t>Documento</t>
        </is>
      </c>
      <c r="D1" s="4" t="inlineStr">
        <is>
          <t>Plan</t>
        </is>
      </c>
      <c r="E1" s="4" t="inlineStr">
        <is>
          <t>Correo</t>
        </is>
      </c>
    </row>
    <row r="2">
      <c r="A2" s="5" t="n">
        <v>1</v>
      </c>
      <c r="B2" s="6" t="inlineStr">
        <is>
          <t>AGUDELO BURGOS, JUAN ESTEBAN</t>
        </is>
      </c>
      <c r="C2" s="5" t="inlineStr">
        <is>
          <t>1056120138</t>
        </is>
      </c>
      <c r="D2" s="6" t="inlineStr">
        <is>
          <t>4034 - CIENCIAS DE LA COMPUTACIÓN</t>
        </is>
      </c>
      <c r="E2" s="6" t="inlineStr">
        <is>
          <t>juagudelobu@unal.edu.co</t>
        </is>
      </c>
    </row>
    <row r="3">
      <c r="A3" s="5" t="n">
        <v>2</v>
      </c>
      <c r="B3" s="6" t="inlineStr">
        <is>
          <t>ARBOLEDA HERNANDEZ, THOMAS</t>
        </is>
      </c>
      <c r="C3" s="5" t="inlineStr">
        <is>
          <t>1053872933</t>
        </is>
      </c>
      <c r="D3" s="6" t="inlineStr">
        <is>
          <t>4022 - INGENIERIA ELECTRICA</t>
        </is>
      </c>
      <c r="E3" s="6" t="inlineStr">
        <is>
          <t>tarboleda@unal.edu.co</t>
        </is>
      </c>
    </row>
    <row r="4">
      <c r="A4" s="5" t="n">
        <v>3</v>
      </c>
      <c r="B4" s="6" t="inlineStr">
        <is>
          <t>ESTRADA OCAMPO, MIGUEL ANGEL</t>
        </is>
      </c>
      <c r="C4" s="5" t="inlineStr">
        <is>
          <t>1109291838</t>
        </is>
      </c>
      <c r="D4" s="6" t="inlineStr">
        <is>
          <t>4028 - INGENIERIA ELECTRONICA</t>
        </is>
      </c>
      <c r="E4" s="6" t="inlineStr">
        <is>
          <t>mestradao@unal.edu.co</t>
        </is>
      </c>
    </row>
    <row r="5">
      <c r="A5" s="5" t="n">
        <v>4</v>
      </c>
      <c r="B5" s="6" t="inlineStr">
        <is>
          <t>GRANADA CARDONA, JUAN ESTEBAN</t>
        </is>
      </c>
      <c r="C5" s="5" t="inlineStr">
        <is>
          <t>1002653804</t>
        </is>
      </c>
      <c r="D5" s="6" t="inlineStr">
        <is>
          <t>4028 - INGENIERIA ELECTRONICA</t>
        </is>
      </c>
      <c r="E5" s="6" t="inlineStr">
        <is>
          <t>jugranada@unal.edu.co</t>
        </is>
      </c>
    </row>
    <row r="6">
      <c r="A6" s="5" t="n">
        <v>5</v>
      </c>
      <c r="B6" s="6" t="inlineStr">
        <is>
          <t>HERNÁNDEZ TULCÁN, EVER DANIEL</t>
        </is>
      </c>
      <c r="C6" s="5" t="inlineStr">
        <is>
          <t>1192891902</t>
        </is>
      </c>
      <c r="D6" s="6" t="inlineStr">
        <is>
          <t>4028 - INGENIERIA ELECTRONICA</t>
        </is>
      </c>
      <c r="E6" s="6" t="inlineStr">
        <is>
          <t>evhernandezt@unal.edu.co</t>
        </is>
      </c>
    </row>
    <row r="7">
      <c r="A7" s="5" t="n">
        <v>6</v>
      </c>
      <c r="B7" s="6" t="inlineStr">
        <is>
          <t>MENDIETA DILBERT, JOHAN SEBASTIAN</t>
        </is>
      </c>
      <c r="C7" s="5" t="inlineStr">
        <is>
          <t>1123890896</t>
        </is>
      </c>
      <c r="D7" s="6" t="inlineStr">
        <is>
          <t>4028 - INGENIERIA ELECTRONICA</t>
        </is>
      </c>
      <c r="E7" s="6" t="inlineStr">
        <is>
          <t>jomendietad@unal.edu.co</t>
        </is>
      </c>
    </row>
    <row r="8">
      <c r="A8" s="5" t="n">
        <v>7</v>
      </c>
      <c r="B8" s="6" t="inlineStr">
        <is>
          <t>MORA RIASCOS, MARLYN NATHALIA</t>
        </is>
      </c>
      <c r="C8" s="5" t="inlineStr">
        <is>
          <t>1004728270</t>
        </is>
      </c>
      <c r="D8" s="6" t="inlineStr">
        <is>
          <t>4028 - INGENIERIA ELECTRONICA</t>
        </is>
      </c>
      <c r="E8" s="6" t="inlineStr">
        <is>
          <t>mmorari@unal.edu.co</t>
        </is>
      </c>
    </row>
    <row r="9">
      <c r="A9" s="5" t="n">
        <v>8</v>
      </c>
      <c r="B9" s="6" t="inlineStr">
        <is>
          <t>NOVOA GIRALDO, JERONIMO</t>
        </is>
      </c>
      <c r="C9" s="5" t="inlineStr">
        <is>
          <t>1054858413</t>
        </is>
      </c>
      <c r="D9" s="6" t="inlineStr">
        <is>
          <t>4028 - INGENIERIA ELECTRONICA</t>
        </is>
      </c>
      <c r="E9" s="6" t="inlineStr">
        <is>
          <t>jenovoag@unal.edu.co</t>
        </is>
      </c>
    </row>
    <row r="10">
      <c r="A10" s="5" t="n">
        <v>9</v>
      </c>
      <c r="B10" s="6" t="inlineStr">
        <is>
          <t>PRIETO ORTEGA, MARIA DE LOS ANGELES</t>
        </is>
      </c>
      <c r="C10" s="5" t="inlineStr">
        <is>
          <t>1062278202</t>
        </is>
      </c>
      <c r="D10" s="6" t="inlineStr">
        <is>
          <t>4028 - INGENIERIA ELECTRONICA</t>
        </is>
      </c>
      <c r="E10" s="6" t="inlineStr">
        <is>
          <t>maprietoo@unal.edu.co</t>
        </is>
      </c>
    </row>
    <row r="11">
      <c r="A11" s="5" t="n">
        <v>10</v>
      </c>
      <c r="B11" s="6" t="inlineStr">
        <is>
          <t>SILVA RENDON, ANDRES ESTEBAN</t>
        </is>
      </c>
      <c r="C11" s="5" t="inlineStr">
        <is>
          <t>1193573403</t>
        </is>
      </c>
      <c r="D11" s="6" t="inlineStr">
        <is>
          <t>4034 - CIENCIAS DE LA COMPUTACIÓN</t>
        </is>
      </c>
      <c r="E11" s="6" t="inlineStr">
        <is>
          <t>asilvare@unal.edu.co</t>
        </is>
      </c>
    </row>
    <row r="12">
      <c r="A12" s="5" t="n">
        <v>11</v>
      </c>
      <c r="B12" s="6" t="inlineStr">
        <is>
          <t>VILLADA ARIAS, SERGIO ALEJANDRO</t>
        </is>
      </c>
      <c r="C12" s="5" t="inlineStr">
        <is>
          <t>1002635986</t>
        </is>
      </c>
      <c r="D12" s="6" t="inlineStr">
        <is>
          <t>4034 - CIENCIAS DE LA COMPUTACIÓN</t>
        </is>
      </c>
      <c r="E12" s="6" t="inlineStr">
        <is>
          <t>svilladaa@unal.edu.co</t>
        </is>
      </c>
    </row>
    <row r="13">
      <c r="A13" s="5" t="n">
        <v>12</v>
      </c>
      <c r="B13" s="6" t="inlineStr">
        <is>
          <t>ZULUAGA YEPES, MARIANA</t>
        </is>
      </c>
      <c r="C13" s="5" t="inlineStr">
        <is>
          <t>1055751503</t>
        </is>
      </c>
      <c r="D13" s="6" t="inlineStr">
        <is>
          <t>4028 - INGENIERIA ELECTRONICA</t>
        </is>
      </c>
      <c r="E13" s="6" t="inlineStr">
        <is>
          <t>mzuluagay@unal.edu.co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4" t="inlineStr">
        <is>
          <t>id_estudiante</t>
        </is>
      </c>
      <c r="B1" s="4" t="inlineStr">
        <is>
          <t>Apellidos y nombres</t>
        </is>
      </c>
      <c r="C1" s="4" t="inlineStr">
        <is>
          <t>EJEMPLO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</row>
    <row r="2">
      <c r="A2" s="5" t="n">
        <v>1</v>
      </c>
      <c r="B2" s="6" t="inlineStr">
        <is>
          <t>AGUDELO BURGOS, JUAN ESTEBAN</t>
        </is>
      </c>
      <c r="C2" s="8" t="inlineStr">
        <is>
          <t>P</t>
        </is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R2" s="8" t="n"/>
      <c r="AS2" s="8" t="n"/>
      <c r="AT2" s="8" t="n"/>
      <c r="AU2" s="8" t="n"/>
      <c r="AV2" s="8" t="n"/>
      <c r="AW2" s="8" t="n"/>
      <c r="AX2" s="8" t="n"/>
      <c r="AY2" s="8" t="n"/>
      <c r="AZ2" s="8" t="n"/>
      <c r="BA2" s="8" t="n"/>
      <c r="BB2" s="8" t="n"/>
      <c r="BC2" s="8" t="n"/>
      <c r="BD2" s="8" t="n"/>
      <c r="BE2" s="8" t="n"/>
      <c r="BF2" s="8" t="n"/>
      <c r="BG2" s="8" t="n"/>
      <c r="BH2" s="8" t="n"/>
      <c r="BI2" s="8" t="n"/>
      <c r="BJ2" s="8" t="n"/>
    </row>
    <row r="3">
      <c r="A3" s="5" t="n">
        <v>2</v>
      </c>
      <c r="B3" s="6" t="inlineStr">
        <is>
          <t>ARBOLEDA HERNANDEZ, THOMAS</t>
        </is>
      </c>
      <c r="C3" s="8" t="inlineStr">
        <is>
          <t>P</t>
        </is>
      </c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</row>
    <row r="4">
      <c r="A4" s="5" t="n">
        <v>3</v>
      </c>
      <c r="B4" s="6" t="inlineStr">
        <is>
          <t>ESTRADA OCAMPO, MIGUEL ANGEL</t>
        </is>
      </c>
      <c r="C4" s="8" t="inlineStr">
        <is>
          <t>A</t>
        </is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</row>
    <row r="5">
      <c r="A5" s="5" t="n">
        <v>4</v>
      </c>
      <c r="B5" s="6" t="inlineStr">
        <is>
          <t>GRANADA CARDONA, JUAN ESTEBAN</t>
        </is>
      </c>
      <c r="C5" s="8" t="inlineStr">
        <is>
          <t>P</t>
        </is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</row>
    <row r="6">
      <c r="A6" s="5" t="n">
        <v>5</v>
      </c>
      <c r="B6" s="6" t="inlineStr">
        <is>
          <t>HERNÁNDEZ TULCÁN, EVER DANIEL</t>
        </is>
      </c>
      <c r="C6" s="8" t="inlineStr">
        <is>
          <t>P</t>
        </is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</row>
    <row r="7">
      <c r="A7" s="5" t="n">
        <v>6</v>
      </c>
      <c r="B7" s="6" t="inlineStr">
        <is>
          <t>MENDIETA DILBERT, JOHAN SEBASTIAN</t>
        </is>
      </c>
      <c r="C7" s="8" t="inlineStr">
        <is>
          <t>E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</row>
    <row r="8">
      <c r="A8" s="5" t="n">
        <v>7</v>
      </c>
      <c r="B8" s="6" t="inlineStr">
        <is>
          <t>MORA RIASCOS, MARLYN NATHALIA</t>
        </is>
      </c>
      <c r="C8" s="8" t="inlineStr">
        <is>
          <t>P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</row>
    <row r="9">
      <c r="A9" s="5" t="n">
        <v>8</v>
      </c>
      <c r="B9" s="6" t="inlineStr">
        <is>
          <t>NOVOA GIRALDO, JERONIMO</t>
        </is>
      </c>
      <c r="C9" s="8" t="inlineStr">
        <is>
          <t>P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</row>
    <row r="10">
      <c r="A10" s="5" t="n">
        <v>9</v>
      </c>
      <c r="B10" s="6" t="inlineStr">
        <is>
          <t>PRIETO ORTEGA, MARIA DE LOS ANGELES</t>
        </is>
      </c>
      <c r="C10" s="8" t="inlineStr">
        <is>
          <t>P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</row>
    <row r="11">
      <c r="A11" s="5" t="n">
        <v>10</v>
      </c>
      <c r="B11" s="6" t="inlineStr">
        <is>
          <t>SILVA RENDON, ANDRES ESTEBAN</t>
        </is>
      </c>
      <c r="C11" s="8" t="inlineStr">
        <is>
          <t>A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</row>
    <row r="12">
      <c r="A12" s="5" t="n">
        <v>11</v>
      </c>
      <c r="B12" s="6" t="inlineStr">
        <is>
          <t>VILLADA ARIAS, SERGIO ALEJANDRO</t>
        </is>
      </c>
      <c r="C12" s="8" t="inlineStr">
        <is>
          <t>P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</row>
    <row r="13">
      <c r="A13" s="5" t="n">
        <v>12</v>
      </c>
      <c r="B13" s="6" t="inlineStr">
        <is>
          <t>ZULUAGA YEPES, MARIANA</t>
        </is>
      </c>
      <c r="C13" s="8" t="inlineStr">
        <is>
          <t>P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</row>
  </sheetData>
  <conditionalFormatting sqref="C2:BJ13">
    <cfRule type="cellIs" priority="1" operator="equal" dxfId="0">
      <formula>"P"</formula>
    </cfRule>
    <cfRule type="cellIs" priority="2" operator="equal" dxfId="1">
      <formula>"A"</formula>
    </cfRule>
    <cfRule type="cellIs" priority="3" operator="equal" dxfId="2">
      <formula>"E"</formula>
    </cfRule>
  </conditionalFormatting>
  <dataValidations count="1">
    <dataValidation sqref="C2:BJ13" showDropDown="0" showInputMessage="0" showErrorMessage="0" allowBlank="1" errorTitle="Valor no válido" error="Usa P (Presente), A (Ausente) o E (Excusa)." type="list">
      <formula1>"P,A,E"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30" customHeight="1">
      <c r="A1" s="9" t="inlineStr">
        <is>
          <t>id_estudiante</t>
        </is>
      </c>
      <c r="B1" s="9" t="inlineStr">
        <is>
          <t>Apellidos y nombres</t>
        </is>
      </c>
      <c r="C1" s="9" t="inlineStr">
        <is>
          <t>Sesiones registradas</t>
        </is>
      </c>
      <c r="D1" s="9" t="inlineStr">
        <is>
          <t>Presentes (P)</t>
        </is>
      </c>
      <c r="E1" s="9" t="inlineStr">
        <is>
          <t>Ausencias (A)</t>
        </is>
      </c>
      <c r="F1" s="9" t="inlineStr">
        <is>
          <t>Excusas (E)</t>
        </is>
      </c>
      <c r="G1" s="9" t="inlineStr">
        <is>
          <t>% Asistencia</t>
        </is>
      </c>
    </row>
    <row r="2">
      <c r="A2" s="5">
        <f>Asistencia!A2</f>
        <v/>
      </c>
      <c r="B2" s="6">
        <f>Asistencia!B2</f>
        <v/>
      </c>
      <c r="C2" s="5">
        <f>COUNTA(Asistencia!C2:BJ2)</f>
        <v/>
      </c>
      <c r="D2" s="5">
        <f>COUNTIF(Asistencia!C2:BJ2,"P")</f>
        <v/>
      </c>
      <c r="E2" s="5">
        <f>COUNTIF(Asistencia!C2:BJ2,"A")</f>
        <v/>
      </c>
      <c r="F2" s="5">
        <f>COUNTIF(Asistencia!C2:BJ2,"E")</f>
        <v/>
      </c>
      <c r="G2" s="10">
        <f>IFERROR((D2+F2)/C2,0)</f>
        <v/>
      </c>
    </row>
    <row r="3">
      <c r="A3" s="5">
        <f>Asistencia!A3</f>
        <v/>
      </c>
      <c r="B3" s="6">
        <f>Asistencia!B3</f>
        <v/>
      </c>
      <c r="C3" s="5">
        <f>COUNTA(Asistencia!C3:BJ3)</f>
        <v/>
      </c>
      <c r="D3" s="5">
        <f>COUNTIF(Asistencia!C3:BJ3,"P")</f>
        <v/>
      </c>
      <c r="E3" s="5">
        <f>COUNTIF(Asistencia!C3:BJ3,"A")</f>
        <v/>
      </c>
      <c r="F3" s="5">
        <f>COUNTIF(Asistencia!C3:BJ3,"E")</f>
        <v/>
      </c>
      <c r="G3" s="10">
        <f>IFERROR((D3+F3)/C3,0)</f>
        <v/>
      </c>
    </row>
    <row r="4">
      <c r="A4" s="5">
        <f>Asistencia!A4</f>
        <v/>
      </c>
      <c r="B4" s="6">
        <f>Asistencia!B4</f>
        <v/>
      </c>
      <c r="C4" s="5">
        <f>COUNTA(Asistencia!C4:BJ4)</f>
        <v/>
      </c>
      <c r="D4" s="5">
        <f>COUNTIF(Asistencia!C4:BJ4,"P")</f>
        <v/>
      </c>
      <c r="E4" s="5">
        <f>COUNTIF(Asistencia!C4:BJ4,"A")</f>
        <v/>
      </c>
      <c r="F4" s="5">
        <f>COUNTIF(Asistencia!C4:BJ4,"E")</f>
        <v/>
      </c>
      <c r="G4" s="10">
        <f>IFERROR((D4+F4)/C4,0)</f>
        <v/>
      </c>
    </row>
    <row r="5">
      <c r="A5" s="5">
        <f>Asistencia!A5</f>
        <v/>
      </c>
      <c r="B5" s="6">
        <f>Asistencia!B5</f>
        <v/>
      </c>
      <c r="C5" s="5">
        <f>COUNTA(Asistencia!C5:BJ5)</f>
        <v/>
      </c>
      <c r="D5" s="5">
        <f>COUNTIF(Asistencia!C5:BJ5,"P")</f>
        <v/>
      </c>
      <c r="E5" s="5">
        <f>COUNTIF(Asistencia!C5:BJ5,"A")</f>
        <v/>
      </c>
      <c r="F5" s="5">
        <f>COUNTIF(Asistencia!C5:BJ5,"E")</f>
        <v/>
      </c>
      <c r="G5" s="10">
        <f>IFERROR((D5+F5)/C5,0)</f>
        <v/>
      </c>
    </row>
    <row r="6">
      <c r="A6" s="5">
        <f>Asistencia!A6</f>
        <v/>
      </c>
      <c r="B6" s="6">
        <f>Asistencia!B6</f>
        <v/>
      </c>
      <c r="C6" s="5">
        <f>COUNTA(Asistencia!C6:BJ6)</f>
        <v/>
      </c>
      <c r="D6" s="5">
        <f>COUNTIF(Asistencia!C6:BJ6,"P")</f>
        <v/>
      </c>
      <c r="E6" s="5">
        <f>COUNTIF(Asistencia!C6:BJ6,"A")</f>
        <v/>
      </c>
      <c r="F6" s="5">
        <f>COUNTIF(Asistencia!C6:BJ6,"E")</f>
        <v/>
      </c>
      <c r="G6" s="10">
        <f>IFERROR((D6+F6)/C6,0)</f>
        <v/>
      </c>
    </row>
    <row r="7">
      <c r="A7" s="5">
        <f>Asistencia!A7</f>
        <v/>
      </c>
      <c r="B7" s="6">
        <f>Asistencia!B7</f>
        <v/>
      </c>
      <c r="C7" s="5">
        <f>COUNTA(Asistencia!C7:BJ7)</f>
        <v/>
      </c>
      <c r="D7" s="5">
        <f>COUNTIF(Asistencia!C7:BJ7,"P")</f>
        <v/>
      </c>
      <c r="E7" s="5">
        <f>COUNTIF(Asistencia!C7:BJ7,"A")</f>
        <v/>
      </c>
      <c r="F7" s="5">
        <f>COUNTIF(Asistencia!C7:BJ7,"E")</f>
        <v/>
      </c>
      <c r="G7" s="10">
        <f>IFERROR((D7+F7)/C7,0)</f>
        <v/>
      </c>
    </row>
    <row r="8">
      <c r="A8" s="5">
        <f>Asistencia!A8</f>
        <v/>
      </c>
      <c r="B8" s="6">
        <f>Asistencia!B8</f>
        <v/>
      </c>
      <c r="C8" s="5">
        <f>COUNTA(Asistencia!C8:BJ8)</f>
        <v/>
      </c>
      <c r="D8" s="5">
        <f>COUNTIF(Asistencia!C8:BJ8,"P")</f>
        <v/>
      </c>
      <c r="E8" s="5">
        <f>COUNTIF(Asistencia!C8:BJ8,"A")</f>
        <v/>
      </c>
      <c r="F8" s="5">
        <f>COUNTIF(Asistencia!C8:BJ8,"E")</f>
        <v/>
      </c>
      <c r="G8" s="10">
        <f>IFERROR((D8+F8)/C8,0)</f>
        <v/>
      </c>
    </row>
    <row r="9">
      <c r="A9" s="5">
        <f>Asistencia!A9</f>
        <v/>
      </c>
      <c r="B9" s="6">
        <f>Asistencia!B9</f>
        <v/>
      </c>
      <c r="C9" s="5">
        <f>COUNTA(Asistencia!C9:BJ9)</f>
        <v/>
      </c>
      <c r="D9" s="5">
        <f>COUNTIF(Asistencia!C9:BJ9,"P")</f>
        <v/>
      </c>
      <c r="E9" s="5">
        <f>COUNTIF(Asistencia!C9:BJ9,"A")</f>
        <v/>
      </c>
      <c r="F9" s="5">
        <f>COUNTIF(Asistencia!C9:BJ9,"E")</f>
        <v/>
      </c>
      <c r="G9" s="10">
        <f>IFERROR((D9+F9)/C9,0)</f>
        <v/>
      </c>
    </row>
    <row r="10">
      <c r="A10" s="5">
        <f>Asistencia!A10</f>
        <v/>
      </c>
      <c r="B10" s="6">
        <f>Asistencia!B10</f>
        <v/>
      </c>
      <c r="C10" s="5">
        <f>COUNTA(Asistencia!C10:BJ10)</f>
        <v/>
      </c>
      <c r="D10" s="5">
        <f>COUNTIF(Asistencia!C10:BJ10,"P")</f>
        <v/>
      </c>
      <c r="E10" s="5">
        <f>COUNTIF(Asistencia!C10:BJ10,"A")</f>
        <v/>
      </c>
      <c r="F10" s="5">
        <f>COUNTIF(Asistencia!C10:BJ10,"E")</f>
        <v/>
      </c>
      <c r="G10" s="10">
        <f>IFERROR((D10+F10)/C10,0)</f>
        <v/>
      </c>
    </row>
    <row r="11">
      <c r="A11" s="5">
        <f>Asistencia!A11</f>
        <v/>
      </c>
      <c r="B11" s="6">
        <f>Asistencia!B11</f>
        <v/>
      </c>
      <c r="C11" s="5">
        <f>COUNTA(Asistencia!C11:BJ11)</f>
        <v/>
      </c>
      <c r="D11" s="5">
        <f>COUNTIF(Asistencia!C11:BJ11,"P")</f>
        <v/>
      </c>
      <c r="E11" s="5">
        <f>COUNTIF(Asistencia!C11:BJ11,"A")</f>
        <v/>
      </c>
      <c r="F11" s="5">
        <f>COUNTIF(Asistencia!C11:BJ11,"E")</f>
        <v/>
      </c>
      <c r="G11" s="10">
        <f>IFERROR((D11+F11)/C11,0)</f>
        <v/>
      </c>
    </row>
    <row r="12">
      <c r="A12" s="5">
        <f>Asistencia!A12</f>
        <v/>
      </c>
      <c r="B12" s="6">
        <f>Asistencia!B12</f>
        <v/>
      </c>
      <c r="C12" s="5">
        <f>COUNTA(Asistencia!C12:BJ12)</f>
        <v/>
      </c>
      <c r="D12" s="5">
        <f>COUNTIF(Asistencia!C12:BJ12,"P")</f>
        <v/>
      </c>
      <c r="E12" s="5">
        <f>COUNTIF(Asistencia!C12:BJ12,"A")</f>
        <v/>
      </c>
      <c r="F12" s="5">
        <f>COUNTIF(Asistencia!C12:BJ12,"E")</f>
        <v/>
      </c>
      <c r="G12" s="10">
        <f>IFERROR((D12+F12)/C12,0)</f>
        <v/>
      </c>
    </row>
    <row r="13">
      <c r="A13" s="5">
        <f>Asistencia!A13</f>
        <v/>
      </c>
      <c r="B13" s="6">
        <f>Asistencia!B13</f>
        <v/>
      </c>
      <c r="C13" s="5">
        <f>COUNTA(Asistencia!C13:BJ13)</f>
        <v/>
      </c>
      <c r="D13" s="5">
        <f>COUNTIF(Asistencia!C13:BJ13,"P")</f>
        <v/>
      </c>
      <c r="E13" s="5">
        <f>COUNTIF(Asistencia!C13:BJ13,"A")</f>
        <v/>
      </c>
      <c r="F13" s="5">
        <f>COUNTIF(Asistencia!C13:BJ13,"E")</f>
        <v/>
      </c>
      <c r="G13" s="10">
        <f>IFERROR((D13+F13)/C13,0)</f>
        <v/>
      </c>
    </row>
    <row r="15">
      <c r="B15" s="11" t="inlineStr">
        <is>
          <t>Promedio del curso</t>
        </is>
      </c>
      <c r="G15" s="12">
        <f>IFERROR(AVERAGE(G2:G13),0)</f>
        <v/>
      </c>
    </row>
  </sheetData>
  <conditionalFormatting sqref="G2:G13">
    <cfRule type="cellIs" priority="1" operator="lessThan" dxfId="1">
      <formula>0.85</formula>
    </cfRule>
    <cfRule type="cellIs" priority="2" operator="greaterThanOrEqual" dxfId="0">
      <formula>0.85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2026-08-22T17:44:56Z</dcterms:created>
  <dcterms:modified xsi:type="dcterms:W3CDTF">2026-08-22T17:44:56Z</dcterms:modified>
</cp:coreProperties>
</file>